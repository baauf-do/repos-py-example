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2008\TuPhuong\Hotel contract 2025 - 2026\Hoi An\Aira &amp; Blue Alcove\"/>
    </mc:Choice>
  </mc:AlternateContent>
  <xr:revisionPtr revIDLastSave="0" documentId="13_ncr:1_{BD88CFF9-BA6F-45E7-BE64-19A462161486}" xr6:coauthVersionLast="47" xr6:coauthVersionMax="47" xr10:uidLastSave="{00000000-0000-0000-0000-000000000000}"/>
  <bookViews>
    <workbookView xWindow="-108" yWindow="-108" windowWidth="23256" windowHeight="12576" xr2:uid="{5034AFB5-A1AB-4CCA-9B3C-2FCE23DA6909}"/>
  </bookViews>
  <sheets>
    <sheet name="25 - 26_Blue Alcove" sheetId="3" r:id="rId1"/>
    <sheet name="25 - 26_Aira Boutiqu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F6" i="1"/>
  <c r="G6" i="1"/>
  <c r="F7" i="1"/>
  <c r="G7" i="1"/>
  <c r="F8" i="1"/>
  <c r="G8" i="1"/>
  <c r="F9" i="1"/>
  <c r="G9" i="1"/>
  <c r="G11" i="1"/>
  <c r="G12" i="1"/>
  <c r="G13" i="1"/>
  <c r="G4" i="1"/>
  <c r="G10" i="1"/>
  <c r="F5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<sst xmlns="http://schemas.openxmlformats.org/spreadsheetml/2006/main" count="48" uniqueCount="41">
  <si>
    <t>AIRA BOUTIQUE HOI AN</t>
  </si>
  <si>
    <t>Room category</t>
  </si>
  <si>
    <t>Remarks</t>
  </si>
  <si>
    <t>01 Jan - 04 May 2025
21 June - 02 Sep 2025
20 Dec - 31 Dec 2025</t>
  </si>
  <si>
    <t>05 May - 20 June 2025
03 Sep - 19 Dec 2025</t>
  </si>
  <si>
    <t>Deluxe Balcony/Terrace</t>
  </si>
  <si>
    <t>Premium Deluxe Balcony /Terrace *</t>
  </si>
  <si>
    <t>Suite Balcony *</t>
  </si>
  <si>
    <t>Attic Suite Garden View Balcony*</t>
  </si>
  <si>
    <t>Attic Suite Balcony*</t>
  </si>
  <si>
    <t>Family Terrace</t>
  </si>
  <si>
    <t>Premier Family Balcony</t>
  </si>
  <si>
    <t>Family Interconnecting*</t>
  </si>
  <si>
    <t>Duplex Suite Balcony*</t>
  </si>
  <si>
    <t>3 Bedroom Villa*</t>
  </si>
  <si>
    <t>Extra rollaway bed is only available in "room" *</t>
  </si>
  <si>
    <t>FOC policy</t>
  </si>
  <si>
    <t xml:space="preserve"> ½ FOC/8 rooms &amp; 1 FOC/12 rooms</t>
  </si>
  <si>
    <t>Children policy &amp; Extra bed (aged 12 years and above)</t>
  </si>
  <si>
    <t>Room rate are inclusive of</t>
  </si>
  <si>
    <r>
      <t xml:space="preserve">Room rate 2026 (SGL = DBL room)
Validity: 01 Jan 2026 - 31 Dec 2026
Including Accommodation + BF
</t>
    </r>
    <r>
      <rPr>
        <sz val="10"/>
        <color rgb="FF000000"/>
        <rFont val="Calibri"/>
        <family val="2"/>
      </rPr>
      <t>Currency: VND</t>
    </r>
    <r>
      <rPr>
        <b/>
        <sz val="10"/>
        <color rgb="FF000000"/>
        <rFont val="Calibri"/>
        <family val="2"/>
      </rPr>
      <t xml:space="preserve">
</t>
    </r>
    <r>
      <rPr>
        <sz val="10"/>
        <color rgb="FF000000"/>
        <rFont val="Calibri"/>
        <family val="2"/>
      </rPr>
      <t>Rate basic: per room per night</t>
    </r>
    <r>
      <rPr>
        <b/>
        <sz val="10"/>
        <color rgb="FF000000"/>
        <rFont val="Calibri"/>
        <family val="2"/>
      </rPr>
      <t xml:space="preserve">
</t>
    </r>
  </si>
  <si>
    <t>Compared rate 2026/2025</t>
  </si>
  <si>
    <t>Most rooms keep the same rate 2025 EXCEPT:
* Deluxe Balcony/Terrace: increase 3-4% compared to rate 2025
* Premier Family Balcony &amp; Family Interconnecting &amp; Duplex Suite Balcony increase 3-6% in high season compared to rate 2025</t>
  </si>
  <si>
    <t xml:space="preserve">* Welcome drink upon arrival.
* Breakfast
* Use of swimming pool and Wi-Fi internet access. 
* Free minibar
</t>
  </si>
  <si>
    <t xml:space="preserve">Maximum 01 Child sharing  existing bed with their parents. 
 - FOC children under 05 years old
 - Surcharge breakfast at 200,000VND/Kid aged from 5 - 11 years old
 - Child from 12 years old &amp; up is compulsory extra bed, including breakfast </t>
  </si>
  <si>
    <t xml:space="preserve">THE BLUE ALCOVE HOTEL </t>
  </si>
  <si>
    <r>
      <t xml:space="preserve">Room rate 2026 (SGL = DBL room)
Validity: 01 Jan 2026 - 31 Dec 2026
Including Accommodation + BF
</t>
    </r>
    <r>
      <rPr>
        <sz val="10"/>
        <color rgb="FF000000"/>
        <rFont val="Calibri"/>
        <family val="2"/>
      </rPr>
      <t>Currency: VND</t>
    </r>
    <r>
      <rPr>
        <b/>
        <sz val="10"/>
        <color rgb="FF000000"/>
        <rFont val="Calibri"/>
        <family val="2"/>
      </rPr>
      <t xml:space="preserve">
</t>
    </r>
    <r>
      <rPr>
        <sz val="10"/>
        <color rgb="FF000000"/>
        <rFont val="Calibri"/>
        <family val="2"/>
      </rPr>
      <t>Rate basic: per room per night</t>
    </r>
    <r>
      <rPr>
        <b/>
        <sz val="10"/>
        <color rgb="FF000000"/>
        <rFont val="Calibri"/>
        <family val="2"/>
      </rPr>
      <t xml:space="preserve">
NO VAT &amp; WHT</t>
    </r>
  </si>
  <si>
    <t>Deluxe Balcony</t>
  </si>
  <si>
    <t>Keep the same rate 2025</t>
  </si>
  <si>
    <t>Deluxe Balcony Pool View</t>
  </si>
  <si>
    <t>Two bedroom Alcove Family</t>
  </si>
  <si>
    <t>Two bedroom Alcove Suite</t>
  </si>
  <si>
    <t>Family Balcony Connecting</t>
  </si>
  <si>
    <t>Extra rollaway bed</t>
  </si>
  <si>
    <t>NO FOC</t>
  </si>
  <si>
    <r>
      <t xml:space="preserve"> - Maximum 01 Child sharing  existing bed with their parents. 
 - FOC children under 05 years old
 - Aged from 5 - 12 years old 
 * Without extra bed: Surcharge breakfast at 150,000VND/Kid &amp; 100,000VND/kid exclude breakfast
 * With extra bed: VND300,000/night including breakfast, VND250,000/child/night excluding breakfast
 - Child from 13 years old &amp; up is compulsory extra bed, including breakfast  
</t>
    </r>
    <r>
      <rPr>
        <sz val="10"/>
        <color rgb="FF7030A0"/>
        <rFont val="Calibri"/>
        <family val="2"/>
      </rPr>
      <t>=&gt; All keeps the same rate 2025</t>
    </r>
    <r>
      <rPr>
        <sz val="10"/>
        <color theme="1"/>
        <rFont val="Calibri"/>
        <family val="2"/>
      </rPr>
      <t xml:space="preserve">
</t>
    </r>
  </si>
  <si>
    <t xml:space="preserve">* Welcome drink upon arrival.
* Breakfast 
* Use of swimming pool and Wi-Fi internet access.
</t>
  </si>
  <si>
    <t>Meal price</t>
  </si>
  <si>
    <t>Quote case by case on request</t>
  </si>
  <si>
    <t>01 Jan - 03 May 2026
21 June - 02 Sep 2026
20 Dec - 31 Dec 2026</t>
  </si>
  <si>
    <t>04 May - 20 June 2026
03 Sep - 19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</si>
</sst>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7030A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ED0000"/>
      <name val="Calibri"/>
      <family val="2"/>
    </font>
    <font>
      <b/>
      <sz val="10"/>
      <color theme="2" tint="-0.499984740745262"/>
      <name val="Calibri"/>
      <family val="2"/>
    </font>
    <font>
      <sz val="10"/>
      <color theme="2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164" fontId="6" fillId="0" borderId="6" xfId="1" applyNumberFormat="1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9" fillId="0" borderId="0" xfId="0" applyFont="1"/>
    <xf numFmtId="9" fontId="10" fillId="0" borderId="6" xfId="2" applyFont="1" applyBorder="1" applyAlignment="1">
      <alignment horizontal="center" vertical="center"/>
    </xf>
    <xf numFmtId="9" fontId="7" fillId="0" borderId="6" xfId="2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4" fontId="12" fillId="0" borderId="6" xfId="1" applyNumberFormat="1" applyFont="1" applyBorder="1" applyAlignment="1">
      <alignment vertical="center"/>
    </xf>
    <xf numFmtId="164" fontId="12" fillId="0" borderId="6" xfId="1" applyNumberFormat="1" applyFont="1" applyBorder="1" applyAlignment="1">
      <alignment vertical="center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 wrapText="1"/>
    </xf>
    <xf numFmtId="164" fontId="6" fillId="0" borderId="8" xfId="1" applyNumberFormat="1" applyFont="1" applyBorder="1" applyAlignment="1">
      <alignment horizontal="center" vertical="center" wrapText="1"/>
    </xf>
    <xf numFmtId="164" fontId="6" fillId="0" borderId="9" xfId="1" applyNumberFormat="1" applyFont="1" applyBorder="1" applyAlignment="1">
      <alignment horizontal="center" vertical="center" wrapText="1"/>
    </xf>
    <xf numFmtId="9" fontId="6" fillId="0" borderId="7" xfId="2" applyFont="1" applyBorder="1" applyAlignment="1">
      <alignment horizontal="center" vertical="center"/>
    </xf>
    <xf numFmtId="9" fontId="6" fillId="0" borderId="9" xfId="2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164" fontId="6" fillId="0" borderId="7" xfId="1" applyNumberFormat="1" applyFont="1" applyFill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left" vertical="center"/>
    </xf>
    <xf numFmtId="164" fontId="6" fillId="0" borderId="9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7A8-3A82-47F3-B476-0F0F01170728}">
  <sheetPr>
    <tabColor rgb="FFC00000"/>
  </sheetPr>
  <dimension ref="A1:D13"/>
  <sheetViews>
    <sheetView tabSelected="1" topLeftCell="A7" workbookViewId="0">
      <selection activeCell="B3" sqref="B3:C3"/>
    </sheetView>
  </sheetViews>
  <sheetFormatPr defaultRowHeight="14.4" x14ac:dyDescent="0.3"/>
  <cols>
    <col min="1" max="1" width="33.44140625" style="8" customWidth="1"/>
    <col min="2" max="2" width="23" style="8" customWidth="1"/>
    <col min="3" max="3" width="20.5546875" style="8" customWidth="1"/>
    <col min="4" max="4" width="37.6640625" style="8" customWidth="1"/>
  </cols>
  <sheetData>
    <row r="1" spans="1:4" x14ac:dyDescent="0.3">
      <c r="A1" s="29" t="s">
        <v>25</v>
      </c>
      <c r="B1" s="29"/>
      <c r="C1" s="29"/>
      <c r="D1" s="29"/>
    </row>
    <row r="2" spans="1:4" ht="78.900000000000006" customHeight="1" x14ac:dyDescent="0.3">
      <c r="A2" s="30" t="s">
        <v>1</v>
      </c>
      <c r="B2" s="37" t="s">
        <v>26</v>
      </c>
      <c r="C2" s="38"/>
      <c r="D2" s="32" t="s">
        <v>2</v>
      </c>
    </row>
    <row r="3" spans="1:4" ht="41.4" x14ac:dyDescent="0.3">
      <c r="A3" s="31"/>
      <c r="B3" s="1" t="s">
        <v>39</v>
      </c>
      <c r="C3" s="1" t="s">
        <v>40</v>
      </c>
      <c r="D3" s="33"/>
    </row>
    <row r="4" spans="1:4" ht="15" customHeight="1" x14ac:dyDescent="0.3">
      <c r="A4" s="2" t="s">
        <v>27</v>
      </c>
      <c r="B4" s="3">
        <v>1000000</v>
      </c>
      <c r="C4" s="3">
        <v>850000</v>
      </c>
      <c r="D4" s="39" t="s">
        <v>28</v>
      </c>
    </row>
    <row r="5" spans="1:4" ht="18.899999999999999" customHeight="1" x14ac:dyDescent="0.3">
      <c r="A5" s="4" t="s">
        <v>29</v>
      </c>
      <c r="B5" s="5">
        <v>1100000</v>
      </c>
      <c r="C5" s="5">
        <v>950000</v>
      </c>
      <c r="D5" s="40"/>
    </row>
    <row r="6" spans="1:4" ht="18.899999999999999" customHeight="1" x14ac:dyDescent="0.3">
      <c r="A6" s="4" t="s">
        <v>30</v>
      </c>
      <c r="B6" s="5">
        <v>1800000</v>
      </c>
      <c r="C6" s="5">
        <v>1600000</v>
      </c>
      <c r="D6" s="40"/>
    </row>
    <row r="7" spans="1:4" ht="18.899999999999999" customHeight="1" x14ac:dyDescent="0.3">
      <c r="A7" s="4" t="s">
        <v>31</v>
      </c>
      <c r="B7" s="5">
        <v>1950000</v>
      </c>
      <c r="C7" s="5">
        <v>1750000</v>
      </c>
      <c r="D7" s="40"/>
    </row>
    <row r="8" spans="1:4" ht="18.899999999999999" customHeight="1" x14ac:dyDescent="0.3">
      <c r="A8" s="4" t="s">
        <v>32</v>
      </c>
      <c r="B8" s="5">
        <v>2200000</v>
      </c>
      <c r="C8" s="5">
        <v>1950000</v>
      </c>
      <c r="D8" s="40"/>
    </row>
    <row r="9" spans="1:4" x14ac:dyDescent="0.3">
      <c r="A9" s="4" t="s">
        <v>33</v>
      </c>
      <c r="B9" s="5">
        <v>300000</v>
      </c>
      <c r="C9" s="5">
        <v>300000</v>
      </c>
      <c r="D9" s="41"/>
    </row>
    <row r="10" spans="1:4" x14ac:dyDescent="0.3">
      <c r="A10" s="4" t="s">
        <v>16</v>
      </c>
      <c r="B10" s="26" t="s">
        <v>34</v>
      </c>
      <c r="C10" s="27"/>
      <c r="D10" s="28"/>
    </row>
    <row r="11" spans="1:4" ht="97.8" customHeight="1" x14ac:dyDescent="0.3">
      <c r="A11" s="6" t="s">
        <v>18</v>
      </c>
      <c r="B11" s="14" t="s">
        <v>35</v>
      </c>
      <c r="C11" s="15"/>
      <c r="D11" s="16"/>
    </row>
    <row r="12" spans="1:4" ht="42" customHeight="1" x14ac:dyDescent="0.3">
      <c r="A12" s="7" t="s">
        <v>19</v>
      </c>
      <c r="B12" s="14" t="s">
        <v>36</v>
      </c>
      <c r="C12" s="15"/>
      <c r="D12" s="16"/>
    </row>
    <row r="13" spans="1:4" ht="18.75" customHeight="1" x14ac:dyDescent="0.3">
      <c r="A13" s="42" t="s">
        <v>37</v>
      </c>
      <c r="B13" s="14" t="s">
        <v>38</v>
      </c>
      <c r="C13" s="15"/>
      <c r="D13" s="16"/>
    </row>
  </sheetData>
  <mergeCells count="9">
    <mergeCell ref="B11:D11"/>
    <mergeCell ref="B12:D12"/>
    <mergeCell ref="B13:D13"/>
    <mergeCell ref="A1:D1"/>
    <mergeCell ref="A2:A3"/>
    <mergeCell ref="B2:C2"/>
    <mergeCell ref="D2:D3"/>
    <mergeCell ref="D4:D9"/>
    <mergeCell ref="B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72B5-D650-472C-9F71-50F4232059CE}">
  <sheetPr>
    <tabColor rgb="FFC00000"/>
  </sheetPr>
  <dimension ref="A1:H17"/>
  <sheetViews>
    <sheetView topLeftCell="A10" workbookViewId="0">
      <selection activeCell="B14" sqref="B14:E14"/>
    </sheetView>
  </sheetViews>
  <sheetFormatPr defaultRowHeight="14.4" x14ac:dyDescent="0.3"/>
  <cols>
    <col min="1" max="1" width="33.44140625" style="8" customWidth="1"/>
    <col min="2" max="2" width="22.5546875" style="8" customWidth="1"/>
    <col min="3" max="3" width="19.33203125" style="8" customWidth="1"/>
    <col min="4" max="4" width="18.5546875" style="8" customWidth="1"/>
    <col min="5" max="5" width="19.5546875" style="8" customWidth="1"/>
    <col min="6" max="6" width="6.5546875" style="8" customWidth="1"/>
    <col min="7" max="7" width="6.88671875" style="8" customWidth="1"/>
    <col min="8" max="8" width="37.6640625" style="8" customWidth="1"/>
  </cols>
  <sheetData>
    <row r="1" spans="1:8" x14ac:dyDescent="0.3">
      <c r="A1" s="29" t="s">
        <v>0</v>
      </c>
      <c r="B1" s="29"/>
      <c r="C1" s="29"/>
      <c r="D1" s="29"/>
      <c r="E1" s="29"/>
      <c r="F1" s="29"/>
      <c r="G1" s="29"/>
      <c r="H1" s="29"/>
    </row>
    <row r="2" spans="1:8" ht="69" customHeight="1" x14ac:dyDescent="0.3">
      <c r="A2" s="30" t="s">
        <v>1</v>
      </c>
      <c r="B2" s="34" t="s">
        <v>20</v>
      </c>
      <c r="C2" s="35"/>
      <c r="D2" s="35"/>
      <c r="E2" s="35"/>
      <c r="F2" s="35"/>
      <c r="G2" s="36"/>
      <c r="H2" s="32" t="s">
        <v>2</v>
      </c>
    </row>
    <row r="3" spans="1:8" ht="41.4" x14ac:dyDescent="0.3">
      <c r="A3" s="31"/>
      <c r="B3" s="11" t="s">
        <v>3</v>
      </c>
      <c r="C3" s="11" t="s">
        <v>4</v>
      </c>
      <c r="D3" s="1" t="s">
        <v>39</v>
      </c>
      <c r="E3" s="1" t="s">
        <v>40</v>
      </c>
      <c r="F3" s="17" t="s">
        <v>21</v>
      </c>
      <c r="G3" s="17"/>
      <c r="H3" s="33"/>
    </row>
    <row r="4" spans="1:8" ht="15" customHeight="1" x14ac:dyDescent="0.3">
      <c r="A4" s="2" t="s">
        <v>5</v>
      </c>
      <c r="B4" s="12">
        <v>1900000</v>
      </c>
      <c r="C4" s="12">
        <v>1650000</v>
      </c>
      <c r="D4" s="3">
        <v>1970000</v>
      </c>
      <c r="E4" s="3">
        <v>1700000</v>
      </c>
      <c r="F4" s="9">
        <f>(D4-B4)/B4</f>
        <v>3.6842105263157891E-2</v>
      </c>
      <c r="G4" s="9">
        <f>(E4-C4)/C4</f>
        <v>3.0303030303030304E-2</v>
      </c>
      <c r="H4" s="23" t="s">
        <v>22</v>
      </c>
    </row>
    <row r="5" spans="1:8" ht="18.899999999999999" customHeight="1" x14ac:dyDescent="0.3">
      <c r="A5" s="4" t="s">
        <v>6</v>
      </c>
      <c r="B5" s="13">
        <v>2150000</v>
      </c>
      <c r="C5" s="13">
        <v>1900000</v>
      </c>
      <c r="D5" s="5">
        <v>2150000</v>
      </c>
      <c r="E5" s="5">
        <v>1900000</v>
      </c>
      <c r="F5" s="10">
        <f t="shared" ref="F5:G13" si="0">(D5-B5)/B5</f>
        <v>0</v>
      </c>
      <c r="G5" s="10">
        <f t="shared" si="0"/>
        <v>0</v>
      </c>
      <c r="H5" s="24"/>
    </row>
    <row r="6" spans="1:8" ht="18.899999999999999" customHeight="1" x14ac:dyDescent="0.3">
      <c r="A6" s="4" t="s">
        <v>7</v>
      </c>
      <c r="B6" s="13">
        <v>2500000</v>
      </c>
      <c r="C6" s="13">
        <v>2200000</v>
      </c>
      <c r="D6" s="5">
        <v>2500000</v>
      </c>
      <c r="E6" s="5">
        <v>2200000</v>
      </c>
      <c r="F6" s="10">
        <f t="shared" si="0"/>
        <v>0</v>
      </c>
      <c r="G6" s="10">
        <f t="shared" si="0"/>
        <v>0</v>
      </c>
      <c r="H6" s="24"/>
    </row>
    <row r="7" spans="1:8" ht="18.899999999999999" customHeight="1" x14ac:dyDescent="0.3">
      <c r="A7" s="4" t="s">
        <v>8</v>
      </c>
      <c r="B7" s="13">
        <v>2700000</v>
      </c>
      <c r="C7" s="13">
        <v>2450000</v>
      </c>
      <c r="D7" s="5">
        <v>2700000</v>
      </c>
      <c r="E7" s="5">
        <v>2450000</v>
      </c>
      <c r="F7" s="10">
        <f t="shared" si="0"/>
        <v>0</v>
      </c>
      <c r="G7" s="10">
        <f t="shared" si="0"/>
        <v>0</v>
      </c>
      <c r="H7" s="24"/>
    </row>
    <row r="8" spans="1:8" ht="18.899999999999999" customHeight="1" x14ac:dyDescent="0.3">
      <c r="A8" s="4" t="s">
        <v>9</v>
      </c>
      <c r="B8" s="13">
        <v>2900000</v>
      </c>
      <c r="C8" s="13">
        <v>2600000</v>
      </c>
      <c r="D8" s="5">
        <v>2900000</v>
      </c>
      <c r="E8" s="5">
        <v>2600000</v>
      </c>
      <c r="F8" s="10">
        <f t="shared" si="0"/>
        <v>0</v>
      </c>
      <c r="G8" s="10">
        <f t="shared" si="0"/>
        <v>0</v>
      </c>
      <c r="H8" s="24"/>
    </row>
    <row r="9" spans="1:8" ht="18.899999999999999" customHeight="1" x14ac:dyDescent="0.3">
      <c r="A9" s="4" t="s">
        <v>10</v>
      </c>
      <c r="B9" s="13">
        <v>3150000</v>
      </c>
      <c r="C9" s="13">
        <v>3000000</v>
      </c>
      <c r="D9" s="5">
        <v>3150000</v>
      </c>
      <c r="E9" s="5">
        <v>3000000</v>
      </c>
      <c r="F9" s="10">
        <f t="shared" si="0"/>
        <v>0</v>
      </c>
      <c r="G9" s="10">
        <f t="shared" si="0"/>
        <v>0</v>
      </c>
      <c r="H9" s="24"/>
    </row>
    <row r="10" spans="1:8" ht="18.899999999999999" customHeight="1" x14ac:dyDescent="0.3">
      <c r="A10" s="4" t="s">
        <v>11</v>
      </c>
      <c r="B10" s="13">
        <v>3400000</v>
      </c>
      <c r="C10" s="13">
        <v>3200000</v>
      </c>
      <c r="D10" s="5">
        <v>3600000</v>
      </c>
      <c r="E10" s="5">
        <v>3200000</v>
      </c>
      <c r="F10" s="9">
        <f t="shared" si="0"/>
        <v>5.8823529411764705E-2</v>
      </c>
      <c r="G10" s="10">
        <f t="shared" si="0"/>
        <v>0</v>
      </c>
      <c r="H10" s="24"/>
    </row>
    <row r="11" spans="1:8" ht="18.899999999999999" customHeight="1" x14ac:dyDescent="0.3">
      <c r="A11" s="4" t="s">
        <v>12</v>
      </c>
      <c r="B11" s="13">
        <v>4000000</v>
      </c>
      <c r="C11" s="13">
        <v>3600000</v>
      </c>
      <c r="D11" s="5">
        <v>4100000</v>
      </c>
      <c r="E11" s="5">
        <v>3600000</v>
      </c>
      <c r="F11" s="9">
        <f t="shared" si="0"/>
        <v>2.5000000000000001E-2</v>
      </c>
      <c r="G11" s="10">
        <f t="shared" si="0"/>
        <v>0</v>
      </c>
      <c r="H11" s="24"/>
    </row>
    <row r="12" spans="1:8" ht="18.899999999999999" customHeight="1" x14ac:dyDescent="0.3">
      <c r="A12" s="4" t="s">
        <v>13</v>
      </c>
      <c r="B12" s="13">
        <v>4000000</v>
      </c>
      <c r="C12" s="13">
        <v>3600000</v>
      </c>
      <c r="D12" s="5">
        <v>4100000</v>
      </c>
      <c r="E12" s="5">
        <v>3600000</v>
      </c>
      <c r="F12" s="9">
        <f t="shared" si="0"/>
        <v>2.5000000000000001E-2</v>
      </c>
      <c r="G12" s="10">
        <f t="shared" si="0"/>
        <v>0</v>
      </c>
      <c r="H12" s="24"/>
    </row>
    <row r="13" spans="1:8" ht="18.899999999999999" customHeight="1" x14ac:dyDescent="0.3">
      <c r="A13" s="4" t="s">
        <v>14</v>
      </c>
      <c r="B13" s="13">
        <v>7000000</v>
      </c>
      <c r="C13" s="13">
        <v>6500000</v>
      </c>
      <c r="D13" s="5">
        <v>7000000</v>
      </c>
      <c r="E13" s="5">
        <v>6500000</v>
      </c>
      <c r="F13" s="10">
        <f t="shared" si="0"/>
        <v>0</v>
      </c>
      <c r="G13" s="10">
        <f t="shared" si="0"/>
        <v>0</v>
      </c>
      <c r="H13" s="24"/>
    </row>
    <row r="14" spans="1:8" ht="27.6" x14ac:dyDescent="0.3">
      <c r="A14" s="4" t="s">
        <v>15</v>
      </c>
      <c r="B14" s="18">
        <v>400000</v>
      </c>
      <c r="C14" s="19"/>
      <c r="D14" s="19"/>
      <c r="E14" s="20"/>
      <c r="F14" s="21"/>
      <c r="G14" s="22"/>
      <c r="H14" s="25"/>
    </row>
    <row r="15" spans="1:8" x14ac:dyDescent="0.3">
      <c r="A15" s="4" t="s">
        <v>16</v>
      </c>
      <c r="B15" s="26" t="s">
        <v>17</v>
      </c>
      <c r="C15" s="27"/>
      <c r="D15" s="27"/>
      <c r="E15" s="27"/>
      <c r="F15" s="27"/>
      <c r="G15" s="27"/>
      <c r="H15" s="28"/>
    </row>
    <row r="16" spans="1:8" ht="56.25" customHeight="1" x14ac:dyDescent="0.3">
      <c r="A16" s="6" t="s">
        <v>18</v>
      </c>
      <c r="B16" s="14" t="s">
        <v>24</v>
      </c>
      <c r="C16" s="15"/>
      <c r="D16" s="15"/>
      <c r="E16" s="15"/>
      <c r="F16" s="15"/>
      <c r="G16" s="15"/>
      <c r="H16" s="16"/>
    </row>
    <row r="17" spans="1:8" ht="52.5" customHeight="1" x14ac:dyDescent="0.3">
      <c r="A17" s="7" t="s">
        <v>19</v>
      </c>
      <c r="B17" s="14" t="s">
        <v>23</v>
      </c>
      <c r="C17" s="15"/>
      <c r="D17" s="15"/>
      <c r="E17" s="15"/>
      <c r="F17" s="15"/>
      <c r="G17" s="15"/>
      <c r="H17" s="16"/>
    </row>
  </sheetData>
  <mergeCells count="11">
    <mergeCell ref="A1:H1"/>
    <mergeCell ref="A2:A3"/>
    <mergeCell ref="H2:H3"/>
    <mergeCell ref="B2:G2"/>
    <mergeCell ref="B16:H16"/>
    <mergeCell ref="B17:H17"/>
    <mergeCell ref="F3:G3"/>
    <mergeCell ref="B14:E14"/>
    <mergeCell ref="F14:G14"/>
    <mergeCell ref="H4:H14"/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25 - 26_Blue Alcove</vt:lpstr>
      <vt:lpstr>25 - 26_Aira Boutique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Chung - EASIA Travel</dc:creator>
  <cp:lastModifiedBy>Tu Phuong  EASIA Travel</cp:lastModifiedBy>
  <dcterms:created xsi:type="dcterms:W3CDTF">2025-04-25T07:46:59Z</dcterms:created>
  <dcterms:modified xsi:type="dcterms:W3CDTF">2025-04-29T10:44:52Z</dcterms:modified>
</cp:coreProperties>
</file>