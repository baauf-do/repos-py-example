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M THU_EASIA TRAVEL\CONTRACT 2026\HOTELS\HOI AN\Palm\"/>
    </mc:Choice>
  </mc:AlternateContent>
  <xr:revisionPtr revIDLastSave="0" documentId="8_{AE6C3FD8-7F35-4970-8D88-4D1A3A600D44}" xr6:coauthVersionLast="47" xr6:coauthVersionMax="47" xr10:uidLastSave="{00000000-0000-0000-0000-000000000000}"/>
  <bookViews>
    <workbookView xWindow="-103" yWindow="-103" windowWidth="19543" windowHeight="12377" xr2:uid="{F91F4177-B5F4-4A82-BA6B-8C1583AC219C}"/>
  </bookViews>
  <sheets>
    <sheet name="25-26_Palm 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6" i="1"/>
  <c r="H11" i="1"/>
  <c r="H5" i="1"/>
  <c r="H6" i="1"/>
  <c r="H7" i="1"/>
  <c r="H8" i="1"/>
  <c r="H9" i="1"/>
  <c r="H10" i="1"/>
  <c r="H12" i="1"/>
  <c r="H13" i="1"/>
  <c r="H14" i="1"/>
  <c r="H16" i="1"/>
  <c r="I19" i="1"/>
  <c r="H19" i="1"/>
  <c r="I18" i="1"/>
  <c r="H18" i="1"/>
  <c r="I4" i="1"/>
  <c r="H4" i="1"/>
</calcChain>
</file>

<file path=xl/sharedStrings.xml><?xml version="1.0" encoding="utf-8"?>
<sst xmlns="http://schemas.openxmlformats.org/spreadsheetml/2006/main" count="44" uniqueCount="43">
  <si>
    <t xml:space="preserve">PALM GARDEN RESORT </t>
  </si>
  <si>
    <t>Room category</t>
  </si>
  <si>
    <t>Room rate 2024 - 2025 (VND / SGL = DBL room)
Validity: 01 Nov 2024 - 31 Dec 2025
Applicable for FIT = GIT
Currency: VND</t>
  </si>
  <si>
    <t>Room rate 2025 - 2026 (VND / SGL = DBL room)
Validity: 01 Nov 2025 - 31 Dec 2026
Applicable for FIT = GIT
Currency: VND</t>
  </si>
  <si>
    <t>Remarks</t>
  </si>
  <si>
    <t>Rate 2022 - 2023
(1 Nov 22 - 28 Feb 23)</t>
  </si>
  <si>
    <t>Rate 2023
(1 Mar 23 - 31 Oct 23)</t>
  </si>
  <si>
    <t>Rate 2024 - 2025
(1 Nov 24 - 28 Feb 25)</t>
  </si>
  <si>
    <t>Rate 2025
(1 Mar 25 - 31 Dec 25)</t>
  </si>
  <si>
    <t>Rate 2025
(1 Nov 25 - 31 Dec 25)</t>
  </si>
  <si>
    <t>Rate 2026
(1 Jan 26 - 31 Dec 26)</t>
  </si>
  <si>
    <t xml:space="preserve">Comparison 2025/2024-2025
</t>
  </si>
  <si>
    <t xml:space="preserve">Comparison 2026/2025
</t>
  </si>
  <si>
    <t>Changed the period 
1 Nov 2024 - 28 Feb 2025 =&gt; 1 Nov 2025 - 31 Dec 2025
1 Mar 2025 - 31 Dec 2025 =&gt; 1 Jan 2026 - 31 Dec 2026</t>
  </si>
  <si>
    <t>Sup Garden View</t>
  </si>
  <si>
    <t>Sup Seaview</t>
  </si>
  <si>
    <t>Deluxe Garden View</t>
  </si>
  <si>
    <t>Deluxe Seaview</t>
  </si>
  <si>
    <t>Bungalow Garden View</t>
  </si>
  <si>
    <t>Bungalow Beach Front</t>
  </si>
  <si>
    <t>Junior Suite Ocean Front
(Formerly Palm Suite)</t>
  </si>
  <si>
    <t>2 bedroom Villa with garden view</t>
  </si>
  <si>
    <t>N/A</t>
  </si>
  <si>
    <t>2 bedroom Villa with partial ocean view</t>
  </si>
  <si>
    <t>2 bedroom Suite with private pool</t>
  </si>
  <si>
    <t>02 Bedroom Ocean Suite with private pool
(Formerly Palm Suite with private pool)</t>
  </si>
  <si>
    <t>3 bedroom Ocean Front villa with private pool</t>
  </si>
  <si>
    <t>Extra bed</t>
  </si>
  <si>
    <t xml:space="preserve">Sup Garden View - For German </t>
  </si>
  <si>
    <t xml:space="preserve">Deluxe Garden View - For German </t>
  </si>
  <si>
    <t>FOC room</t>
  </si>
  <si>
    <t>1/2 FOC/8 rooms &amp; 1 FOC/16 rooms</t>
  </si>
  <si>
    <t>Peak Season surcharge</t>
  </si>
  <si>
    <t xml:space="preserve">Childen policy &amp; Extra bed </t>
  </si>
  <si>
    <r>
      <t xml:space="preserve"> -In 2026: Surcharge VND 700,000 net/child under 12 years old (Including Extra bed + BF) (I.S.O 650,000 in 2025) =&gt; </t>
    </r>
    <r>
      <rPr>
        <sz val="11"/>
        <color rgb="FF7030A0"/>
        <rFont val="Calibri"/>
        <family val="2"/>
      </rPr>
      <t xml:space="preserve">Increase 8% </t>
    </r>
    <r>
      <rPr>
        <sz val="11"/>
        <color theme="1"/>
        <rFont val="Calibri"/>
        <family val="2"/>
      </rPr>
      <t xml:space="preserve">
 - Child from 12 years old &amp; up apply for extra bed as adult 
 - Free of charge for maximum 02 children under 12 years old sharing existing bed with their parents</t>
    </r>
  </si>
  <si>
    <t>Room rate are inclusive of</t>
  </si>
  <si>
    <t xml:space="preserve">* Welcome drink and cold towel upon arrival.
* Buffet breakfast at Four Plates Restaurant for maximum 2 pax per room night.
</t>
  </si>
  <si>
    <t>Special  offers</t>
  </si>
  <si>
    <r>
      <t xml:space="preserve">* Bonus night: Saty 8 Pay 7
 =&gt; Not combinable with other promotions &amp; Applicable to extra bed
</t>
    </r>
    <r>
      <rPr>
        <sz val="11"/>
        <rFont val="Calibri"/>
        <family val="2"/>
      </rPr>
      <t xml:space="preserve"> * Early Bird 2025 - 2026: 5% OFF for bookings at Sup/Deluxe &amp; Bungalow reserved 60days prior to arival date</t>
    </r>
    <r>
      <rPr>
        <sz val="11"/>
        <color theme="1"/>
        <rFont val="Calibri"/>
        <family val="2"/>
      </rPr>
      <t xml:space="preserve">
 =&gt; Not combinable with other pro</t>
    </r>
    <r>
      <rPr>
        <sz val="11"/>
        <rFont val="Calibri"/>
        <family val="2"/>
      </rPr>
      <t>motions &amp; not be applied to extra bed</t>
    </r>
  </si>
  <si>
    <t>Meal price</t>
  </si>
  <si>
    <r>
      <t xml:space="preserve">* Buffet Breakfast: 500,000 net/ child from 12 years old &amp; adult </t>
    </r>
    <r>
      <rPr>
        <sz val="11"/>
        <color rgb="FF7030A0"/>
        <rFont val="Calibri"/>
        <family val="2"/>
      </rPr>
      <t>(I.S.O 400.000 VND in 2025)</t>
    </r>
    <r>
      <rPr>
        <sz val="11"/>
        <color theme="1"/>
        <rFont val="Calibri"/>
        <family val="2"/>
      </rPr>
      <t xml:space="preserve"> =&gt; </t>
    </r>
    <r>
      <rPr>
        <sz val="11"/>
        <color rgb="FF7030A0"/>
        <rFont val="Calibri"/>
        <family val="2"/>
      </rPr>
      <t>Increase 25%</t>
    </r>
    <r>
      <rPr>
        <sz val="11"/>
        <color theme="1"/>
        <rFont val="Calibri"/>
        <family val="2"/>
      </rPr>
      <t xml:space="preserve"> 
* VietNamese Set menu: from VND 550,000 net/ child from 12 years old &amp; adult =&gt;</t>
    </r>
    <r>
      <rPr>
        <sz val="11"/>
        <color rgb="FF7030A0"/>
        <rFont val="Calibri"/>
        <family val="2"/>
      </rPr>
      <t xml:space="preserve"> Keep the same rate 2025</t>
    </r>
    <r>
      <rPr>
        <sz val="11"/>
        <color theme="1"/>
        <rFont val="Calibri"/>
        <family val="2"/>
      </rPr>
      <t xml:space="preserve">
 * VietNamese buffet: from VND 700,000 net/ child from 12 years old &amp; adult </t>
    </r>
    <r>
      <rPr>
        <sz val="11"/>
        <color rgb="FF7030A0"/>
        <rFont val="Calibri"/>
        <family val="2"/>
      </rPr>
      <t xml:space="preserve">(I.S.O 650.000 in 2025) =&gt; Increase 8%
* </t>
    </r>
    <r>
      <rPr>
        <sz val="11"/>
        <rFont val="Calibri"/>
        <family val="2"/>
      </rPr>
      <t xml:space="preserve">Western Set menu: from VND 600,000 net/ child from 12 years old &amp; adult =&gt; </t>
    </r>
    <r>
      <rPr>
        <sz val="11"/>
        <color rgb="FF7030A0"/>
        <rFont val="Calibri"/>
        <family val="2"/>
      </rPr>
      <t>Keep the same rate 2025</t>
    </r>
    <r>
      <rPr>
        <sz val="11"/>
        <color theme="1"/>
        <rFont val="Calibri"/>
        <family val="2"/>
      </rPr>
      <t xml:space="preserve">
 * International buffer: from VND 750,000 net </t>
    </r>
    <r>
      <rPr>
        <sz val="11"/>
        <color rgb="FF7030A0"/>
        <rFont val="Calibri"/>
        <family val="2"/>
      </rPr>
      <t>(I.S.O 700,000 VND in 2025)</t>
    </r>
    <r>
      <rPr>
        <sz val="11"/>
        <color theme="1"/>
        <rFont val="Calibri"/>
        <family val="2"/>
      </rPr>
      <t xml:space="preserve"> =&gt; </t>
    </r>
    <r>
      <rPr>
        <sz val="11"/>
        <color rgb="FF7030A0"/>
        <rFont val="Calibri"/>
        <family val="2"/>
      </rPr>
      <t xml:space="preserve">Increase 7%
</t>
    </r>
    <r>
      <rPr>
        <b/>
        <sz val="11"/>
        <rFont val="Calibri"/>
        <family val="2"/>
      </rPr>
      <t>Gala Dinner 2024 - 2025: Compulsory Xmas (24 Dec)</t>
    </r>
    <r>
      <rPr>
        <sz val="11"/>
        <color theme="1"/>
        <rFont val="Calibri"/>
        <family val="2"/>
      </rPr>
      <t xml:space="preserve">
 * VND 1,800,000 net/pax (2024) &amp; VND 2,000,000 net/pax (2025) 
 * VND 2,000,000 net/pax (2025) &amp; VND 2,300,000 net/pax (2026) 
=&gt; </t>
    </r>
    <r>
      <rPr>
        <sz val="11"/>
        <color rgb="FF7030A0"/>
        <rFont val="Calibri"/>
        <family val="2"/>
      </rPr>
      <t xml:space="preserve">Increase 11-15%
</t>
    </r>
    <r>
      <rPr>
        <b/>
        <sz val="11"/>
        <color theme="1"/>
        <rFont val="Calibri"/>
        <family val="2"/>
      </rPr>
      <t xml:space="preserve">Gala Dinner 2025 - 2026: Compulsory New Year Eve (31 Dec) 
* </t>
    </r>
    <r>
      <rPr>
        <sz val="11"/>
        <color theme="1"/>
        <rFont val="Calibri"/>
        <family val="2"/>
      </rPr>
      <t>New Year Eve (31 Dec) @ VND 2,100,000 net/pax (2024) &amp; VND 2,300,000 net/pax (2025)</t>
    </r>
    <r>
      <rPr>
        <b/>
        <sz val="11"/>
        <color theme="1"/>
        <rFont val="Calibri"/>
        <family val="2"/>
      </rPr>
      <t xml:space="preserve">
*</t>
    </r>
    <r>
      <rPr>
        <sz val="11"/>
        <color theme="1"/>
        <rFont val="Calibri"/>
        <family val="2"/>
      </rPr>
      <t xml:space="preserve"> New Year Eve (31 Dec) @ VND 2,300,000 net/pax (2025) &amp; VND 2,500,000 net/pax (2026)
=&gt; </t>
    </r>
    <r>
      <rPr>
        <sz val="11"/>
        <color rgb="FF7030A0"/>
        <rFont val="Calibri"/>
        <family val="2"/>
      </rPr>
      <t>Increase 9-10%</t>
    </r>
    <r>
      <rPr>
        <sz val="11"/>
        <color theme="1"/>
        <rFont val="Calibri"/>
        <family val="2"/>
      </rPr>
      <t xml:space="preserve">
=&gt; Meal price for child from 06 - 11 years old (including BF/Lunch/Dinner/Gala dinner): 30% OFF on adult price</t>
    </r>
  </si>
  <si>
    <t>Special room rate for German market</t>
  </si>
  <si>
    <r>
      <t>Surcharge of VND 350,000 per room per night on</t>
    </r>
    <r>
      <rPr>
        <sz val="11"/>
        <color rgb="FF7030A0"/>
        <rFont val="Calibri"/>
        <family val="2"/>
      </rPr>
      <t xml:space="preserve"> =&gt; Keep the same rate 2025</t>
    </r>
    <r>
      <rPr>
        <sz val="11"/>
        <color theme="1"/>
        <rFont val="Calibri"/>
        <family val="2"/>
      </rPr>
      <t xml:space="preserve">
 - X'mas Eve &amp; X'mas Day (24 - 25 Dec 2025 &amp; 24 - 25 Dec 2026)
 - New Year's Eve &amp; Solar New Year (31 Dec 2025 &amp; 01 Jan 2026 &amp; 31 Dec 2026)
 - Puplic Holidays (30 Apr 2026 &amp; 01 May 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</si>
</sst>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2" tint="-0.499984740745262"/>
      <name val="Calibri"/>
      <family val="2"/>
    </font>
    <font>
      <b/>
      <sz val="11"/>
      <name val="Calibri"/>
      <family val="2"/>
    </font>
    <font>
      <b/>
      <sz val="11"/>
      <color rgb="FF7030A0"/>
      <name val="Calibri"/>
      <family val="2"/>
    </font>
    <font>
      <sz val="11"/>
      <color theme="2" tint="-0.499984740745262"/>
      <name val="Calibri"/>
      <family val="2"/>
    </font>
    <font>
      <sz val="11"/>
      <color rgb="FF7030A0"/>
      <name val="Calibri"/>
      <family val="2"/>
    </font>
    <font>
      <b/>
      <sz val="11"/>
      <color rgb="FFC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64" fontId="7" fillId="0" borderId="6" xfId="1" applyNumberFormat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right" vertical="center"/>
    </xf>
    <xf numFmtId="3" fontId="0" fillId="0" borderId="6" xfId="0" applyNumberFormat="1" applyBorder="1" applyAlignment="1">
      <alignment horizontal="right"/>
    </xf>
    <xf numFmtId="9" fontId="8" fillId="0" borderId="6" xfId="2" applyFont="1" applyFill="1" applyBorder="1" applyAlignment="1">
      <alignment horizont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7" fillId="0" borderId="6" xfId="1" applyNumberFormat="1" applyFont="1" applyFill="1" applyBorder="1" applyAlignment="1">
      <alignment horizontal="right"/>
    </xf>
    <xf numFmtId="0" fontId="9" fillId="0" borderId="6" xfId="0" applyFont="1" applyBorder="1" applyAlignment="1">
      <alignment vertical="center" wrapText="1"/>
    </xf>
    <xf numFmtId="164" fontId="10" fillId="0" borderId="6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top" wrapText="1"/>
    </xf>
    <xf numFmtId="164" fontId="10" fillId="0" borderId="6" xfId="1" applyNumberFormat="1" applyFont="1" applyFill="1" applyBorder="1" applyAlignment="1">
      <alignment horizontal="right"/>
    </xf>
    <xf numFmtId="0" fontId="3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left" vertical="center"/>
    </xf>
    <xf numFmtId="0" fontId="3" fillId="0" borderId="6" xfId="0" applyFont="1" applyBorder="1" applyAlignment="1">
      <alignment wrapText="1"/>
    </xf>
    <xf numFmtId="164" fontId="7" fillId="0" borderId="6" xfId="1" applyNumberFormat="1" applyFont="1" applyFill="1" applyBorder="1" applyAlignment="1">
      <alignment horizontal="center"/>
    </xf>
    <xf numFmtId="164" fontId="10" fillId="0" borderId="6" xfId="1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11" fillId="0" borderId="0" xfId="0" applyFont="1"/>
    <xf numFmtId="164" fontId="10" fillId="3" borderId="4" xfId="1" applyNumberFormat="1" applyFont="1" applyFill="1" applyBorder="1" applyAlignment="1">
      <alignment horizontal="center" vertical="center"/>
    </xf>
    <xf numFmtId="0" fontId="11" fillId="0" borderId="3" xfId="1" applyNumberFormat="1" applyFont="1" applyFill="1" applyBorder="1" applyAlignment="1">
      <alignment horizontal="left" vertical="top" wrapText="1"/>
    </xf>
    <xf numFmtId="0" fontId="11" fillId="0" borderId="4" xfId="1" applyNumberFormat="1" applyFont="1" applyFill="1" applyBorder="1" applyAlignment="1">
      <alignment horizontal="left" vertical="top" wrapText="1"/>
    </xf>
    <xf numFmtId="0" fontId="11" fillId="0" borderId="5" xfId="1" applyNumberFormat="1" applyFont="1" applyFill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10" fillId="3" borderId="5" xfId="1" applyNumberFormat="1" applyFont="1" applyFill="1" applyBorder="1" applyAlignment="1">
      <alignment vertical="center"/>
    </xf>
    <xf numFmtId="164" fontId="10" fillId="3" borderId="3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B1B6-D580-4CE2-977C-E05D8C11A08D}">
  <sheetPr>
    <tabColor rgb="FFC00000"/>
  </sheetPr>
  <dimension ref="A1:J25"/>
  <sheetViews>
    <sheetView tabSelected="1" zoomScale="60" zoomScaleNormal="60" workbookViewId="0">
      <selection activeCell="H14" sqref="H14"/>
    </sheetView>
  </sheetViews>
  <sheetFormatPr defaultRowHeight="14.6" x14ac:dyDescent="0.4"/>
  <cols>
    <col min="1" max="1" width="35.84375" style="28" customWidth="1"/>
    <col min="2" max="3" width="18.53515625" style="28" customWidth="1"/>
    <col min="4" max="4" width="20.765625" style="28" customWidth="1"/>
    <col min="5" max="5" width="17.69140625" style="28" customWidth="1"/>
    <col min="6" max="7" width="18.15234375" style="28" customWidth="1"/>
    <col min="8" max="8" width="15.53515625" style="28" customWidth="1"/>
    <col min="9" max="9" width="11.53515625" style="28" customWidth="1"/>
    <col min="10" max="10" width="49.53515625" style="28" customWidth="1"/>
  </cols>
  <sheetData>
    <row r="1" spans="1:10" x14ac:dyDescent="0.4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96.65" customHeight="1" x14ac:dyDescent="0.4">
      <c r="A2" s="1" t="s">
        <v>1</v>
      </c>
      <c r="B2" s="41"/>
      <c r="C2" s="42"/>
      <c r="D2" s="37" t="s">
        <v>2</v>
      </c>
      <c r="E2" s="43"/>
      <c r="F2" s="38" t="s">
        <v>3</v>
      </c>
      <c r="G2" s="39"/>
      <c r="H2" s="39"/>
      <c r="I2" s="40"/>
      <c r="J2" s="2" t="s">
        <v>4</v>
      </c>
    </row>
    <row r="3" spans="1:10" ht="43.75" x14ac:dyDescent="0.4">
      <c r="A3" s="3"/>
      <c r="B3" s="4" t="s">
        <v>5</v>
      </c>
      <c r="C3" s="4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</row>
    <row r="4" spans="1:10" x14ac:dyDescent="0.4">
      <c r="A4" s="8" t="s">
        <v>14</v>
      </c>
      <c r="B4" s="9">
        <v>2300000</v>
      </c>
      <c r="C4" s="9">
        <v>2450000</v>
      </c>
      <c r="D4" s="10">
        <v>2600000</v>
      </c>
      <c r="E4" s="10">
        <v>2700000</v>
      </c>
      <c r="F4" s="11">
        <v>2700000</v>
      </c>
      <c r="G4" s="11">
        <v>2850000</v>
      </c>
      <c r="H4" s="12">
        <f>(F4-D4)/D4</f>
        <v>3.8461538461538464E-2</v>
      </c>
      <c r="I4" s="12">
        <f>(G4-E4)/E4</f>
        <v>5.5555555555555552E-2</v>
      </c>
      <c r="J4" s="13"/>
    </row>
    <row r="5" spans="1:10" x14ac:dyDescent="0.4">
      <c r="A5" s="8" t="s">
        <v>15</v>
      </c>
      <c r="B5" s="9">
        <v>2400000</v>
      </c>
      <c r="C5" s="9">
        <v>2550000</v>
      </c>
      <c r="D5" s="10">
        <v>2700000</v>
      </c>
      <c r="E5" s="10">
        <v>2800000</v>
      </c>
      <c r="F5" s="11">
        <v>2800000</v>
      </c>
      <c r="G5" s="11">
        <v>2950000</v>
      </c>
      <c r="H5" s="12">
        <f t="shared" ref="H5:H16" si="0">(F5-D5)/D5</f>
        <v>3.7037037037037035E-2</v>
      </c>
      <c r="I5" s="12">
        <f t="shared" ref="I5:I16" si="1">(G5-E5)/E5</f>
        <v>5.3571428571428568E-2</v>
      </c>
      <c r="J5" s="14"/>
    </row>
    <row r="6" spans="1:10" x14ac:dyDescent="0.4">
      <c r="A6" s="8" t="s">
        <v>16</v>
      </c>
      <c r="B6" s="9">
        <v>2500000</v>
      </c>
      <c r="C6" s="9">
        <v>2650000</v>
      </c>
      <c r="D6" s="10">
        <v>2800000</v>
      </c>
      <c r="E6" s="10">
        <v>2900000</v>
      </c>
      <c r="F6" s="11">
        <v>2900000</v>
      </c>
      <c r="G6" s="11">
        <v>3050000</v>
      </c>
      <c r="H6" s="12">
        <f t="shared" si="0"/>
        <v>3.5714285714285712E-2</v>
      </c>
      <c r="I6" s="12">
        <f t="shared" si="1"/>
        <v>5.1724137931034482E-2</v>
      </c>
      <c r="J6" s="15"/>
    </row>
    <row r="7" spans="1:10" x14ac:dyDescent="0.4">
      <c r="A7" s="8" t="s">
        <v>17</v>
      </c>
      <c r="B7" s="9">
        <v>2850000</v>
      </c>
      <c r="C7" s="9">
        <v>3000000</v>
      </c>
      <c r="D7" s="10">
        <v>3150000</v>
      </c>
      <c r="E7" s="10">
        <v>3300000</v>
      </c>
      <c r="F7" s="11">
        <v>3300000</v>
      </c>
      <c r="G7" s="11">
        <v>3450000</v>
      </c>
      <c r="H7" s="12">
        <f t="shared" si="0"/>
        <v>4.7619047619047616E-2</v>
      </c>
      <c r="I7" s="12">
        <f t="shared" si="1"/>
        <v>4.5454545454545456E-2</v>
      </c>
      <c r="J7" s="15"/>
    </row>
    <row r="8" spans="1:10" x14ac:dyDescent="0.4">
      <c r="A8" s="8" t="s">
        <v>18</v>
      </c>
      <c r="B8" s="9">
        <v>3950000</v>
      </c>
      <c r="C8" s="9">
        <v>4100000</v>
      </c>
      <c r="D8" s="10">
        <v>4600000</v>
      </c>
      <c r="E8" s="10">
        <v>4850000</v>
      </c>
      <c r="F8" s="11">
        <v>4850000</v>
      </c>
      <c r="G8" s="11">
        <v>5100000</v>
      </c>
      <c r="H8" s="12">
        <f t="shared" si="0"/>
        <v>5.434782608695652E-2</v>
      </c>
      <c r="I8" s="12">
        <f t="shared" si="1"/>
        <v>5.1546391752577317E-2</v>
      </c>
      <c r="J8" s="15"/>
    </row>
    <row r="9" spans="1:10" x14ac:dyDescent="0.4">
      <c r="A9" s="8" t="s">
        <v>19</v>
      </c>
      <c r="B9" s="9">
        <v>4500000</v>
      </c>
      <c r="C9" s="9">
        <v>4650000</v>
      </c>
      <c r="D9" s="10">
        <v>5200000</v>
      </c>
      <c r="E9" s="10">
        <v>5450000</v>
      </c>
      <c r="F9" s="11">
        <v>5450000</v>
      </c>
      <c r="G9" s="11">
        <v>5750000</v>
      </c>
      <c r="H9" s="12">
        <f t="shared" si="0"/>
        <v>4.807692307692308E-2</v>
      </c>
      <c r="I9" s="12">
        <f t="shared" si="1"/>
        <v>5.5045871559633031E-2</v>
      </c>
      <c r="J9" s="15"/>
    </row>
    <row r="10" spans="1:10" ht="29.15" x14ac:dyDescent="0.4">
      <c r="A10" s="8" t="s">
        <v>20</v>
      </c>
      <c r="B10" s="9">
        <v>5500000</v>
      </c>
      <c r="C10" s="9">
        <v>5500000</v>
      </c>
      <c r="D10" s="16">
        <v>6000000</v>
      </c>
      <c r="E10" s="16">
        <v>6300000</v>
      </c>
      <c r="F10" s="11">
        <v>6300000</v>
      </c>
      <c r="G10" s="11">
        <v>6600000</v>
      </c>
      <c r="H10" s="12">
        <f t="shared" si="0"/>
        <v>0.05</v>
      </c>
      <c r="I10" s="12">
        <f t="shared" si="1"/>
        <v>4.7619047619047616E-2</v>
      </c>
      <c r="J10" s="17"/>
    </row>
    <row r="11" spans="1:10" x14ac:dyDescent="0.4">
      <c r="A11" s="8" t="s">
        <v>21</v>
      </c>
      <c r="B11" s="9"/>
      <c r="C11" s="9"/>
      <c r="D11" s="10">
        <v>7700000</v>
      </c>
      <c r="E11" s="10">
        <v>7700000</v>
      </c>
      <c r="F11" s="18">
        <v>7700000</v>
      </c>
      <c r="G11" s="11">
        <v>8000000</v>
      </c>
      <c r="H11" s="12">
        <f>(F11-D11)/D11</f>
        <v>0</v>
      </c>
      <c r="I11" s="12">
        <f t="shared" si="1"/>
        <v>3.896103896103896E-2</v>
      </c>
      <c r="J11" s="17"/>
    </row>
    <row r="12" spans="1:10" x14ac:dyDescent="0.4">
      <c r="A12" s="8" t="s">
        <v>23</v>
      </c>
      <c r="B12" s="9"/>
      <c r="C12" s="9"/>
      <c r="D12" s="10">
        <v>9350000</v>
      </c>
      <c r="E12" s="10">
        <v>9350000</v>
      </c>
      <c r="F12" s="18">
        <v>9350000</v>
      </c>
      <c r="G12" s="11">
        <v>9800000</v>
      </c>
      <c r="H12" s="12">
        <f t="shared" si="0"/>
        <v>0</v>
      </c>
      <c r="I12" s="12">
        <f t="shared" si="1"/>
        <v>4.8128342245989303E-2</v>
      </c>
      <c r="J12" s="17"/>
    </row>
    <row r="13" spans="1:10" x14ac:dyDescent="0.4">
      <c r="A13" s="8" t="s">
        <v>24</v>
      </c>
      <c r="B13" s="9"/>
      <c r="C13" s="9"/>
      <c r="D13" s="10">
        <v>11500000</v>
      </c>
      <c r="E13" s="10">
        <v>11500000</v>
      </c>
      <c r="F13" s="11">
        <v>11500000</v>
      </c>
      <c r="G13" s="11">
        <v>12500000</v>
      </c>
      <c r="H13" s="12">
        <f t="shared" si="0"/>
        <v>0</v>
      </c>
      <c r="I13" s="12">
        <f t="shared" si="1"/>
        <v>8.6956521739130432E-2</v>
      </c>
      <c r="J13" s="17"/>
    </row>
    <row r="14" spans="1:10" ht="50.25" customHeight="1" x14ac:dyDescent="0.4">
      <c r="A14" s="19" t="s">
        <v>25</v>
      </c>
      <c r="B14" s="9"/>
      <c r="C14" s="9"/>
      <c r="D14" s="16">
        <v>13500000</v>
      </c>
      <c r="E14" s="16">
        <v>13500000</v>
      </c>
      <c r="F14" s="20">
        <v>13500000</v>
      </c>
      <c r="G14" s="11">
        <v>14500000</v>
      </c>
      <c r="H14" s="12">
        <f t="shared" si="0"/>
        <v>0</v>
      </c>
      <c r="I14" s="12">
        <f t="shared" si="1"/>
        <v>7.407407407407407E-2</v>
      </c>
      <c r="J14" s="17"/>
    </row>
    <row r="15" spans="1:10" ht="29.15" x14ac:dyDescent="0.4">
      <c r="A15" s="8" t="s">
        <v>26</v>
      </c>
      <c r="B15" s="9"/>
      <c r="C15" s="9"/>
      <c r="D15" s="10" t="s">
        <v>22</v>
      </c>
      <c r="E15" s="10" t="s">
        <v>22</v>
      </c>
      <c r="F15" s="11">
        <v>18900000</v>
      </c>
      <c r="G15" s="11">
        <v>20000000</v>
      </c>
      <c r="H15" s="12"/>
      <c r="I15" s="12"/>
      <c r="J15" s="17"/>
    </row>
    <row r="16" spans="1:10" x14ac:dyDescent="0.4">
      <c r="A16" s="3" t="s">
        <v>27</v>
      </c>
      <c r="B16" s="10">
        <v>900000</v>
      </c>
      <c r="C16" s="10">
        <v>900000</v>
      </c>
      <c r="D16" s="10">
        <v>950000</v>
      </c>
      <c r="E16" s="10">
        <v>950000</v>
      </c>
      <c r="F16" s="18">
        <v>1000000</v>
      </c>
      <c r="G16" s="18">
        <v>1000000</v>
      </c>
      <c r="H16" s="12">
        <f t="shared" si="0"/>
        <v>5.2631578947368418E-2</v>
      </c>
      <c r="I16" s="12">
        <f t="shared" si="1"/>
        <v>5.2631578947368418E-2</v>
      </c>
      <c r="J16" s="15"/>
    </row>
    <row r="17" spans="1:10" x14ac:dyDescent="0.4">
      <c r="A17" s="21"/>
      <c r="B17" s="44" t="s">
        <v>41</v>
      </c>
      <c r="C17" s="45"/>
      <c r="D17" s="45"/>
      <c r="E17" s="45"/>
      <c r="F17" s="45"/>
      <c r="G17" s="45"/>
      <c r="H17" s="45"/>
      <c r="I17" s="46"/>
      <c r="J17" s="22"/>
    </row>
    <row r="18" spans="1:10" ht="25.4" customHeight="1" x14ac:dyDescent="0.4">
      <c r="A18" s="23" t="s">
        <v>28</v>
      </c>
      <c r="B18" s="16">
        <v>2250000</v>
      </c>
      <c r="C18" s="16">
        <v>2350000</v>
      </c>
      <c r="D18" s="24">
        <v>2500000</v>
      </c>
      <c r="E18" s="24">
        <v>2600000</v>
      </c>
      <c r="F18" s="25">
        <v>2600000</v>
      </c>
      <c r="G18" s="25">
        <v>2750000</v>
      </c>
      <c r="H18" s="12">
        <f t="shared" ref="H18:I19" si="2">(F18-D18)/D18</f>
        <v>0.04</v>
      </c>
      <c r="I18" s="12">
        <f t="shared" si="2"/>
        <v>5.7692307692307696E-2</v>
      </c>
      <c r="J18" s="15"/>
    </row>
    <row r="19" spans="1:10" ht="23.15" customHeight="1" x14ac:dyDescent="0.4">
      <c r="A19" s="23" t="s">
        <v>29</v>
      </c>
      <c r="B19" s="16">
        <v>2350000</v>
      </c>
      <c r="C19" s="16">
        <v>2550000</v>
      </c>
      <c r="D19" s="24">
        <v>2700000</v>
      </c>
      <c r="E19" s="24">
        <v>2800000</v>
      </c>
      <c r="F19" s="25">
        <v>2800000</v>
      </c>
      <c r="G19" s="25">
        <v>2950000</v>
      </c>
      <c r="H19" s="12">
        <f t="shared" si="2"/>
        <v>3.7037037037037035E-2</v>
      </c>
      <c r="I19" s="12">
        <f t="shared" si="2"/>
        <v>5.3571428571428568E-2</v>
      </c>
      <c r="J19" s="15"/>
    </row>
    <row r="20" spans="1:10" x14ac:dyDescent="0.4">
      <c r="A20" s="26" t="s">
        <v>30</v>
      </c>
      <c r="B20" s="48" t="s">
        <v>31</v>
      </c>
      <c r="C20" s="29"/>
      <c r="D20" s="29"/>
      <c r="E20" s="29"/>
      <c r="F20" s="29"/>
      <c r="G20" s="29"/>
      <c r="H20" s="29"/>
      <c r="I20" s="29"/>
      <c r="J20" s="47"/>
    </row>
    <row r="21" spans="1:10" ht="62.15" customHeight="1" x14ac:dyDescent="0.4">
      <c r="A21" s="3" t="s">
        <v>32</v>
      </c>
      <c r="B21" s="30" t="s">
        <v>42</v>
      </c>
      <c r="C21" s="31"/>
      <c r="D21" s="31"/>
      <c r="E21" s="31"/>
      <c r="F21" s="31"/>
      <c r="G21" s="31"/>
      <c r="H21" s="31"/>
      <c r="I21" s="31"/>
      <c r="J21" s="32"/>
    </row>
    <row r="22" spans="1:10" ht="47.25" customHeight="1" x14ac:dyDescent="0.4">
      <c r="A22" s="8" t="s">
        <v>33</v>
      </c>
      <c r="B22" s="33" t="s">
        <v>34</v>
      </c>
      <c r="C22" s="34"/>
      <c r="D22" s="34"/>
      <c r="E22" s="34"/>
      <c r="F22" s="34"/>
      <c r="G22" s="34"/>
      <c r="H22" s="34"/>
      <c r="I22" s="34"/>
      <c r="J22" s="35"/>
    </row>
    <row r="23" spans="1:10" ht="33" customHeight="1" x14ac:dyDescent="0.4">
      <c r="A23" s="3" t="s">
        <v>35</v>
      </c>
      <c r="B23" s="33" t="s">
        <v>36</v>
      </c>
      <c r="C23" s="34"/>
      <c r="D23" s="34"/>
      <c r="E23" s="34"/>
      <c r="F23" s="34"/>
      <c r="G23" s="34"/>
      <c r="H23" s="34"/>
      <c r="I23" s="34"/>
      <c r="J23" s="35"/>
    </row>
    <row r="24" spans="1:10" ht="60.75" customHeight="1" x14ac:dyDescent="0.4">
      <c r="A24" s="3" t="s">
        <v>37</v>
      </c>
      <c r="B24" s="33" t="s">
        <v>38</v>
      </c>
      <c r="C24" s="34"/>
      <c r="D24" s="34"/>
      <c r="E24" s="34"/>
      <c r="F24" s="34"/>
      <c r="G24" s="34"/>
      <c r="H24" s="34"/>
      <c r="I24" s="34"/>
      <c r="J24" s="35"/>
    </row>
    <row r="25" spans="1:10" ht="213" customHeight="1" x14ac:dyDescent="0.4">
      <c r="A25" s="27" t="s">
        <v>39</v>
      </c>
      <c r="B25" s="33" t="s">
        <v>40</v>
      </c>
      <c r="C25" s="34"/>
      <c r="D25" s="34"/>
      <c r="E25" s="34"/>
      <c r="F25" s="34"/>
      <c r="G25" s="34"/>
      <c r="H25" s="34"/>
      <c r="I25" s="34"/>
      <c r="J25" s="35"/>
    </row>
  </sheetData>
  <mergeCells count="10">
    <mergeCell ref="B25:J25"/>
    <mergeCell ref="A1:J1"/>
    <mergeCell ref="F2:I2"/>
    <mergeCell ref="D2:E2"/>
    <mergeCell ref="B17:I17"/>
    <mergeCell ref="B20:I20"/>
    <mergeCell ref="B21:J21"/>
    <mergeCell ref="B22:J22"/>
    <mergeCell ref="B23:J23"/>
    <mergeCell ref="B24:J24"/>
  </mergeCells>
  <pageMargins left="0.7" right="0.7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25-26_Palm 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Chung - EASIA Travel</dc:creator>
  <cp:lastModifiedBy>Kim Thu  - EASIA Travel</cp:lastModifiedBy>
  <cp:lastPrinted>2024-12-31T10:47:58Z</cp:lastPrinted>
  <dcterms:created xsi:type="dcterms:W3CDTF">2024-12-27T04:11:33Z</dcterms:created>
  <dcterms:modified xsi:type="dcterms:W3CDTF">2024-12-31T11:14:08Z</dcterms:modified>
</cp:coreProperties>
</file>